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8705934-468A-4037-8E39-2ABA5F6026AD}" xr6:coauthVersionLast="47" xr6:coauthVersionMax="47" xr10:uidLastSave="{00000000-0000-0000-0000-000000000000}"/>
  <bookViews>
    <workbookView xWindow="-110" yWindow="-110" windowWidth="19420" windowHeight="10300" xr2:uid="{208D933A-CDB5-47A0-BF1E-7A20216A3B7D}"/>
  </bookViews>
  <sheets>
    <sheet name="VENTES" sheetId="1" r:id="rId1"/>
    <sheet name="ANALYSE" sheetId="2" r:id="rId2"/>
    <sheet name="GRAPHIQUE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I13" i="1"/>
  <c r="I2" i="1"/>
  <c r="H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B20" i="2"/>
  <c r="B19" i="2"/>
  <c r="B18" i="2"/>
  <c r="B17" i="2"/>
  <c r="B16" i="2"/>
  <c r="B21" i="2" l="1"/>
  <c r="B4" i="2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B23" i="2" l="1"/>
  <c r="B22" i="2"/>
  <c r="B7" i="2"/>
  <c r="B5" i="2"/>
  <c r="B3" i="2"/>
  <c r="B2" i="2"/>
</calcChain>
</file>

<file path=xl/sharedStrings.xml><?xml version="1.0" encoding="utf-8"?>
<sst xmlns="http://schemas.openxmlformats.org/spreadsheetml/2006/main" count="91" uniqueCount="56">
  <si>
    <t>Code</t>
  </si>
  <si>
    <t>Médicament</t>
  </si>
  <si>
    <t>Catégorie</t>
  </si>
  <si>
    <t>Fournisseur</t>
  </si>
  <si>
    <t>Qté vendue</t>
  </si>
  <si>
    <t>Prix unitaire</t>
  </si>
  <si>
    <t>Semaine</t>
  </si>
  <si>
    <t>CA</t>
  </si>
  <si>
    <t>Statut stock</t>
  </si>
  <si>
    <t>MED001</t>
  </si>
  <si>
    <t>MED002</t>
  </si>
  <si>
    <t>MED003</t>
  </si>
  <si>
    <t>MED004</t>
  </si>
  <si>
    <t>MED005</t>
  </si>
  <si>
    <t>MED006</t>
  </si>
  <si>
    <t>MED007</t>
  </si>
  <si>
    <t>MED008</t>
  </si>
  <si>
    <t>MED009</t>
  </si>
  <si>
    <t>MED010</t>
  </si>
  <si>
    <t>MED011</t>
  </si>
  <si>
    <t>MED012</t>
  </si>
  <si>
    <t>Paracétamol 500mg</t>
  </si>
  <si>
    <t>Amoxicilline 250mg</t>
  </si>
  <si>
    <t>Arteméter-Luméfantrine</t>
  </si>
  <si>
    <t>Métronidazole 250mg</t>
  </si>
  <si>
    <t>Vitamine C 1000mg</t>
  </si>
  <si>
    <t>Oméprazole 20mg</t>
  </si>
  <si>
    <t>Ibuprofène 400mg</t>
  </si>
  <si>
    <t>Zinc + Vitamine D</t>
  </si>
  <si>
    <t>Cotrimoxazole 480mg</t>
  </si>
  <si>
    <t>Analgésique</t>
  </si>
  <si>
    <t>Antibiotique</t>
  </si>
  <si>
    <t>Antipaludéen</t>
  </si>
  <si>
    <t>Complément</t>
  </si>
  <si>
    <t>Gastro</t>
  </si>
  <si>
    <t>LABOREX</t>
  </si>
  <si>
    <t>COPHARMED</t>
  </si>
  <si>
    <t>BIOPHARMA</t>
  </si>
  <si>
    <t>S1</t>
  </si>
  <si>
    <t>S2</t>
  </si>
  <si>
    <t>S3</t>
  </si>
  <si>
    <t>S4</t>
  </si>
  <si>
    <t>Référence interne</t>
  </si>
  <si>
    <t>TABLEAU DE BORD-PHARMACIE BAOBAB-JANVIER 2025</t>
  </si>
  <si>
    <t>Chiffre d'affaires total du mois</t>
  </si>
  <si>
    <t>CA total-Fournisseur LABOREX</t>
  </si>
  <si>
    <t>Quantité totale vendue</t>
  </si>
  <si>
    <t>Nombre de médicaments à réapprovisionner</t>
  </si>
  <si>
    <t>Marge brute totale</t>
  </si>
  <si>
    <t>CA moyen par médicament</t>
  </si>
  <si>
    <t>FICHE DE CONSULTATION PAR CODE MÉDICAMENT</t>
  </si>
  <si>
    <t>Saisir le code médicament(ex: MED007)</t>
  </si>
  <si>
    <t>Quantité vendue</t>
  </si>
  <si>
    <t>Marge brute</t>
  </si>
  <si>
    <t>Tendance</t>
  </si>
  <si>
    <t>formule pour calculé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</si>
</sst>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5" xfId="0" applyFill="1" applyBorder="1"/>
    <xf numFmtId="0" fontId="0" fillId="2" borderId="4" xfId="0" applyFill="1" applyBorder="1"/>
    <xf numFmtId="0" fontId="0" fillId="0" borderId="5" xfId="0" applyBorder="1"/>
    <xf numFmtId="0" fontId="0" fillId="4" borderId="3" xfId="0" applyFill="1" applyBorder="1" applyAlignment="1">
      <alignment horizontal="center" vertical="center"/>
    </xf>
    <xf numFmtId="0" fontId="0" fillId="0" borderId="3" xfId="0" applyBorder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/>
    <xf numFmtId="0" fontId="0" fillId="0" borderId="4" xfId="0" applyBorder="1"/>
    <xf numFmtId="0" fontId="0" fillId="5" borderId="0" xfId="0" applyFill="1"/>
    <xf numFmtId="0" fontId="5" fillId="0" borderId="0" xfId="0" applyFont="1"/>
    <xf numFmtId="0" fontId="5" fillId="4" borderId="1" xfId="0" applyFont="1" applyFill="1" applyBorder="1"/>
    <xf numFmtId="0" fontId="6" fillId="0" borderId="1" xfId="0" applyFont="1" applyBorder="1" applyAlignment="1">
      <alignment horizontal="right"/>
    </xf>
    <xf numFmtId="20" fontId="3" fillId="3" borderId="3" xfId="0" applyNumberFormat="1" applyFont="1" applyFill="1" applyBorder="1" applyAlignment="1">
      <alignment vertical="center"/>
    </xf>
    <xf numFmtId="0" fontId="7" fillId="0" borderId="6" xfId="0" applyFont="1" applyBorder="1"/>
    <xf numFmtId="0" fontId="7" fillId="0" borderId="8" xfId="0" applyFont="1" applyBorder="1"/>
    <xf numFmtId="0" fontId="3" fillId="3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FFC000"/>
      </font>
      <fill>
        <patternFill>
          <bgColor rgb="FFFFFF0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fgColor rgb="FFFF3300"/>
          <bgColor rgb="FFFC787E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C787E"/>
      <color rgb="FFFF33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9B2025A-DB90-A4BA-E564-02FD57271991}"/>
            </a:ext>
          </a:extLst>
        </xdr:cNvPr>
        <xdr:cNvSpPr>
          <a:spLocks noChangeAspect="1" noChangeArrowheads="1"/>
        </xdr:cNvSpPr>
      </xdr:nvSpPr>
      <xdr:spPr bwMode="auto">
        <a:xfrm>
          <a:off x="9982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7298F6D-7FA2-614E-C5B2-01CAF9A1BF95}"/>
            </a:ext>
          </a:extLst>
        </xdr:cNvPr>
        <xdr:cNvSpPr>
          <a:spLocks noChangeAspect="1" noChangeArrowheads="1"/>
        </xdr:cNvSpPr>
      </xdr:nvSpPr>
      <xdr:spPr bwMode="auto">
        <a:xfrm>
          <a:off x="9982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890245</xdr:colOff>
      <xdr:row>13</xdr:row>
      <xdr:rowOff>62256</xdr:rowOff>
    </xdr:from>
    <xdr:to>
      <xdr:col>6</xdr:col>
      <xdr:colOff>231900</xdr:colOff>
      <xdr:row>24</xdr:row>
      <xdr:rowOff>150969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12AC9AD-08BF-B985-F957-31E47A58F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9755" y="2683187"/>
          <a:ext cx="2143125" cy="2143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B5DCC-F673-4897-86A1-F0E8EA5C6446}" name="Tableau1" displayName="Tableau1" ref="I1:I13" totalsRowShown="0" headerRowDxfId="8" dataDxfId="6" headerRowBorderDxfId="7" tableBorderDxfId="5" totalsRowBorderDxfId="4">
  <tableColumns count="1">
    <tableColumn id="1" xr3:uid="{5FE1F03D-053D-4FAD-9ECE-E16361B0D3D4}" name="Marge brute" dataDxfId="3">
      <calculatedColumnFormula>IF(C2="Antipaludéen",H2*30%,IF(C2="Antibiotique",H2*25%,H2*20%))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D26F-9477-45D9-92F7-AFC8F181CD8C}">
  <sheetPr>
    <pageSetUpPr fitToPage="1"/>
  </sheetPr>
  <dimension ref="A1:V24"/>
  <sheetViews>
    <sheetView showRowColHeaders="0" tabSelected="1" zoomScale="83" workbookViewId="0">
      <pane xSplit="2" ySplit="1" topLeftCell="C2" activePane="bottomRight" state="frozen"/>
      <selection activeCell="C4" sqref="C4"/>
      <selection pane="topRight" activeCell="C4" sqref="C4"/>
      <selection pane="bottomLeft" activeCell="C4" sqref="C4"/>
      <selection pane="bottomRight" activeCell="V4" sqref="V4"/>
    </sheetView>
  </sheetViews>
  <sheetFormatPr baseColWidth="10" defaultRowHeight="14.5" x14ac:dyDescent="0.35"/>
  <cols>
    <col min="1" max="1" width="15" customWidth="1"/>
    <col min="2" max="2" width="20.26953125" customWidth="1"/>
    <col min="3" max="3" width="12" bestFit="1" customWidth="1"/>
    <col min="4" max="4" width="13.6328125" bestFit="1" customWidth="1"/>
    <col min="5" max="5" width="12.81640625" bestFit="1" customWidth="1"/>
    <col min="6" max="6" width="13.6328125" customWidth="1"/>
    <col min="9" max="9" width="13" customWidth="1"/>
    <col min="10" max="10" width="22" bestFit="1" customWidth="1"/>
    <col min="11" max="11" width="21.08984375" customWidth="1"/>
    <col min="12" max="12" width="20" customWidth="1"/>
    <col min="13" max="13" width="16" customWidth="1"/>
  </cols>
  <sheetData>
    <row r="1" spans="1:22" s="2" customFormat="1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2" t="s">
        <v>53</v>
      </c>
      <c r="J1" s="4" t="s">
        <v>8</v>
      </c>
      <c r="K1" s="11" t="s">
        <v>42</v>
      </c>
      <c r="L1" s="19" t="s">
        <v>54</v>
      </c>
    </row>
    <row r="2" spans="1:22" x14ac:dyDescent="0.35">
      <c r="A2" s="5" t="s">
        <v>9</v>
      </c>
      <c r="B2" s="6" t="s">
        <v>21</v>
      </c>
      <c r="C2" s="6" t="s">
        <v>30</v>
      </c>
      <c r="D2" s="6" t="s">
        <v>35</v>
      </c>
      <c r="E2" s="6">
        <v>340</v>
      </c>
      <c r="F2" s="6">
        <v>250</v>
      </c>
      <c r="G2" s="6" t="s">
        <v>38</v>
      </c>
      <c r="H2" s="6">
        <f>VENTES!$E2*VENTES!$F2</f>
        <v>85000</v>
      </c>
      <c r="I2" s="20">
        <f t="shared" ref="I2:I13" si="0">IF(C2="Antipaludéen",H2*30%,IF(C2="Antibiotique",H2*25%,H2*20%))</f>
        <v>17000</v>
      </c>
      <c r="J2" s="14" t="str">
        <f t="shared" ref="J2:J13" si="1">IF(AND(E2&gt;250,OR(D2="LABOREX",D2="COPHARMA")),"RÉAPPROVISIONNEMENT",IF(AND(E2&gt;=150,E2&lt;=250),"SURVEILLER","OK"))</f>
        <v>RÉAPPROVISIONNEMENT</v>
      </c>
      <c r="K2" s="1" t="str">
        <f t="shared" ref="K2:K13" si="2">IFERROR(LEFT(UPPER(C2),3)&amp;"/"&amp;LEFT(A2,4)&amp;"/"&amp;LEFT(UPPER(D2),3),"ERR")</f>
        <v>ANA/MED0/LAB</v>
      </c>
      <c r="L2" s="10"/>
    </row>
    <row r="3" spans="1:22" x14ac:dyDescent="0.35">
      <c r="A3" s="5" t="s">
        <v>10</v>
      </c>
      <c r="B3" s="8" t="s">
        <v>22</v>
      </c>
      <c r="C3" s="8" t="s">
        <v>31</v>
      </c>
      <c r="D3" s="8" t="s">
        <v>36</v>
      </c>
      <c r="E3" s="8">
        <v>120</v>
      </c>
      <c r="F3" s="8">
        <v>1800</v>
      </c>
      <c r="G3" s="8" t="s">
        <v>38</v>
      </c>
      <c r="H3" s="8">
        <f>VENTES!$E3*VENTES!$F3</f>
        <v>216000</v>
      </c>
      <c r="I3" s="20">
        <f t="shared" si="0"/>
        <v>54000</v>
      </c>
      <c r="J3" s="7" t="str">
        <f t="shared" si="1"/>
        <v>OK</v>
      </c>
      <c r="K3" s="1" t="str">
        <f t="shared" si="2"/>
        <v>ANT/MED0/COP</v>
      </c>
    </row>
    <row r="4" spans="1:22" x14ac:dyDescent="0.35">
      <c r="A4" s="5" t="s">
        <v>11</v>
      </c>
      <c r="B4" s="6" t="s">
        <v>23</v>
      </c>
      <c r="C4" s="6" t="s">
        <v>32</v>
      </c>
      <c r="D4" s="6" t="s">
        <v>35</v>
      </c>
      <c r="E4" s="6">
        <v>280</v>
      </c>
      <c r="F4" s="6">
        <v>2500</v>
      </c>
      <c r="G4" s="6" t="s">
        <v>38</v>
      </c>
      <c r="H4" s="6">
        <f>VENTES!$E4*VENTES!$F4</f>
        <v>700000</v>
      </c>
      <c r="I4" s="20">
        <f t="shared" si="0"/>
        <v>210000</v>
      </c>
      <c r="J4" s="7" t="str">
        <f t="shared" si="1"/>
        <v>RÉAPPROVISIONNEMENT</v>
      </c>
      <c r="K4" s="1" t="str">
        <f t="shared" si="2"/>
        <v>ANT/MED0/LAB</v>
      </c>
      <c r="L4" s="10"/>
      <c r="V4" t="s">
        <v>55</v>
      </c>
    </row>
    <row r="5" spans="1:22" x14ac:dyDescent="0.35">
      <c r="A5" s="5" t="s">
        <v>12</v>
      </c>
      <c r="B5" s="8" t="s">
        <v>24</v>
      </c>
      <c r="C5" s="8" t="s">
        <v>31</v>
      </c>
      <c r="D5" s="8" t="s">
        <v>37</v>
      </c>
      <c r="E5" s="8">
        <v>95</v>
      </c>
      <c r="F5" s="8">
        <v>900</v>
      </c>
      <c r="G5" s="8" t="s">
        <v>39</v>
      </c>
      <c r="H5" s="8">
        <f>VENTES!$E5*VENTES!$F5</f>
        <v>85500</v>
      </c>
      <c r="I5" s="20">
        <f t="shared" si="0"/>
        <v>21375</v>
      </c>
      <c r="J5" s="7" t="str">
        <f t="shared" si="1"/>
        <v>OK</v>
      </c>
      <c r="K5" s="1" t="str">
        <f t="shared" si="2"/>
        <v>ANT/MED0/BIO</v>
      </c>
      <c r="L5" s="10"/>
    </row>
    <row r="6" spans="1:22" x14ac:dyDescent="0.35">
      <c r="A6" s="5" t="s">
        <v>13</v>
      </c>
      <c r="B6" s="6" t="s">
        <v>25</v>
      </c>
      <c r="C6" s="6" t="s">
        <v>33</v>
      </c>
      <c r="D6" s="6" t="s">
        <v>36</v>
      </c>
      <c r="E6" s="6">
        <v>410</v>
      </c>
      <c r="F6" s="6">
        <v>350</v>
      </c>
      <c r="G6" s="6" t="s">
        <v>39</v>
      </c>
      <c r="H6" s="6">
        <f>VENTES!$E6*VENTES!$F6</f>
        <v>143500</v>
      </c>
      <c r="I6" s="20">
        <f t="shared" si="0"/>
        <v>28700</v>
      </c>
      <c r="J6" s="7" t="str">
        <f t="shared" si="1"/>
        <v>OK</v>
      </c>
      <c r="K6" s="1" t="str">
        <f t="shared" si="2"/>
        <v>COM/MED0/COP</v>
      </c>
      <c r="L6" s="10"/>
    </row>
    <row r="7" spans="1:22" x14ac:dyDescent="0.35">
      <c r="A7" s="5" t="s">
        <v>14</v>
      </c>
      <c r="B7" s="8" t="s">
        <v>26</v>
      </c>
      <c r="C7" s="8" t="s">
        <v>34</v>
      </c>
      <c r="D7" s="8" t="s">
        <v>37</v>
      </c>
      <c r="E7" s="8">
        <v>180</v>
      </c>
      <c r="F7" s="8">
        <v>1200</v>
      </c>
      <c r="G7" s="8" t="s">
        <v>39</v>
      </c>
      <c r="H7" s="8">
        <f>VENTES!$E7*VENTES!$F7</f>
        <v>216000</v>
      </c>
      <c r="I7" s="20">
        <f t="shared" si="0"/>
        <v>43200</v>
      </c>
      <c r="J7" s="7" t="str">
        <f t="shared" si="1"/>
        <v>SURVEILLER</v>
      </c>
      <c r="K7" s="1" t="str">
        <f t="shared" si="2"/>
        <v>GAS/MED0/BIO</v>
      </c>
      <c r="L7" s="10"/>
    </row>
    <row r="8" spans="1:22" x14ac:dyDescent="0.35">
      <c r="A8" s="5" t="s">
        <v>15</v>
      </c>
      <c r="B8" s="6" t="s">
        <v>23</v>
      </c>
      <c r="C8" s="6" t="s">
        <v>32</v>
      </c>
      <c r="D8" s="6" t="s">
        <v>35</v>
      </c>
      <c r="E8" s="6">
        <v>320</v>
      </c>
      <c r="F8" s="6">
        <v>2500</v>
      </c>
      <c r="G8" s="6" t="s">
        <v>40</v>
      </c>
      <c r="H8" s="6">
        <f>VENTES!$E8*VENTES!$F8</f>
        <v>800000</v>
      </c>
      <c r="I8" s="20">
        <f t="shared" si="0"/>
        <v>240000</v>
      </c>
      <c r="J8" s="7" t="str">
        <f t="shared" si="1"/>
        <v>RÉAPPROVISIONNEMENT</v>
      </c>
      <c r="K8" s="1" t="str">
        <f t="shared" si="2"/>
        <v>ANT/MED0/LAB</v>
      </c>
      <c r="L8" s="10"/>
    </row>
    <row r="9" spans="1:22" x14ac:dyDescent="0.35">
      <c r="A9" s="5" t="s">
        <v>16</v>
      </c>
      <c r="B9" s="8" t="s">
        <v>21</v>
      </c>
      <c r="C9" s="8" t="s">
        <v>30</v>
      </c>
      <c r="D9" s="8" t="s">
        <v>35</v>
      </c>
      <c r="E9" s="8">
        <v>290</v>
      </c>
      <c r="F9" s="8">
        <v>250</v>
      </c>
      <c r="G9" s="8" t="s">
        <v>40</v>
      </c>
      <c r="H9" s="8">
        <f>VENTES!$E9*VENTES!$F9</f>
        <v>72500</v>
      </c>
      <c r="I9" s="20">
        <f t="shared" si="0"/>
        <v>14500</v>
      </c>
      <c r="J9" s="7" t="str">
        <f t="shared" si="1"/>
        <v>RÉAPPROVISIONNEMENT</v>
      </c>
      <c r="K9" s="1" t="str">
        <f t="shared" si="2"/>
        <v>ANA/MED0/LAB</v>
      </c>
      <c r="L9" s="10"/>
    </row>
    <row r="10" spans="1:22" x14ac:dyDescent="0.35">
      <c r="A10" s="5" t="s">
        <v>17</v>
      </c>
      <c r="B10" s="6" t="s">
        <v>27</v>
      </c>
      <c r="C10" s="6" t="s">
        <v>30</v>
      </c>
      <c r="D10" s="6" t="s">
        <v>36</v>
      </c>
      <c r="E10" s="6">
        <v>155</v>
      </c>
      <c r="F10" s="6">
        <v>700</v>
      </c>
      <c r="G10" s="6" t="s">
        <v>40</v>
      </c>
      <c r="H10" s="6">
        <f>VENTES!$E10*VENTES!$F10</f>
        <v>108500</v>
      </c>
      <c r="I10" s="20">
        <f t="shared" si="0"/>
        <v>21700</v>
      </c>
      <c r="J10" s="7" t="str">
        <f t="shared" si="1"/>
        <v>SURVEILLER</v>
      </c>
      <c r="K10" s="1" t="str">
        <f t="shared" si="2"/>
        <v>ANA/MED0/COP</v>
      </c>
      <c r="L10" s="10"/>
    </row>
    <row r="11" spans="1:22" x14ac:dyDescent="0.35">
      <c r="A11" s="5" t="s">
        <v>18</v>
      </c>
      <c r="B11" s="8" t="s">
        <v>22</v>
      </c>
      <c r="C11" s="8" t="s">
        <v>31</v>
      </c>
      <c r="D11" s="8" t="s">
        <v>37</v>
      </c>
      <c r="E11" s="8">
        <v>200</v>
      </c>
      <c r="F11" s="8">
        <v>2200</v>
      </c>
      <c r="G11" s="8" t="s">
        <v>41</v>
      </c>
      <c r="H11" s="8">
        <f>VENTES!$E11*VENTES!$F11</f>
        <v>440000</v>
      </c>
      <c r="I11" s="20">
        <f t="shared" si="0"/>
        <v>110000</v>
      </c>
      <c r="J11" s="7" t="str">
        <f t="shared" si="1"/>
        <v>SURVEILLER</v>
      </c>
      <c r="K11" s="1" t="str">
        <f t="shared" si="2"/>
        <v>ANT/MED0/BIO</v>
      </c>
      <c r="L11" s="10"/>
    </row>
    <row r="12" spans="1:22" x14ac:dyDescent="0.35">
      <c r="A12" s="5" t="s">
        <v>19</v>
      </c>
      <c r="B12" s="6" t="s">
        <v>28</v>
      </c>
      <c r="C12" s="6" t="s">
        <v>33</v>
      </c>
      <c r="D12" s="6" t="s">
        <v>35</v>
      </c>
      <c r="E12" s="6">
        <v>130</v>
      </c>
      <c r="F12" s="6">
        <v>1500</v>
      </c>
      <c r="G12" s="6" t="s">
        <v>41</v>
      </c>
      <c r="H12" s="6">
        <f>VENTES!$E12*VENTES!$F12</f>
        <v>195000</v>
      </c>
      <c r="I12" s="20">
        <f t="shared" si="0"/>
        <v>39000</v>
      </c>
      <c r="J12" s="7" t="str">
        <f t="shared" si="1"/>
        <v>OK</v>
      </c>
      <c r="K12" s="1" t="str">
        <f t="shared" si="2"/>
        <v>COM/MED0/LAB</v>
      </c>
      <c r="L12" s="10"/>
    </row>
    <row r="13" spans="1:22" x14ac:dyDescent="0.35">
      <c r="A13" s="9" t="s">
        <v>20</v>
      </c>
      <c r="B13" s="10" t="s">
        <v>29</v>
      </c>
      <c r="C13" s="10" t="s">
        <v>31</v>
      </c>
      <c r="D13" s="10" t="s">
        <v>36</v>
      </c>
      <c r="E13" s="10">
        <v>170</v>
      </c>
      <c r="F13" s="10">
        <v>650</v>
      </c>
      <c r="G13" s="10" t="s">
        <v>41</v>
      </c>
      <c r="H13" s="10">
        <f>VENTES!$E13*VENTES!$F13</f>
        <v>110500</v>
      </c>
      <c r="I13" s="21">
        <f t="shared" si="0"/>
        <v>27625</v>
      </c>
      <c r="J13" s="7" t="str">
        <f t="shared" si="1"/>
        <v>SURVEILLER</v>
      </c>
      <c r="K13" s="1" t="str">
        <f t="shared" si="2"/>
        <v>ANT/MED0/COP</v>
      </c>
      <c r="L13" s="10"/>
    </row>
    <row r="15" spans="1:22" x14ac:dyDescent="0.35">
      <c r="G15" s="15"/>
    </row>
    <row r="24" spans="1:1" x14ac:dyDescent="0.35">
      <c r="A24" s="16"/>
    </row>
  </sheetData>
  <phoneticPr fontId="4" type="noConversion"/>
  <conditionalFormatting sqref="H1:H13">
    <cfRule type="dataBar" priority="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{1E58FF43-191E-465C-B0BB-7C6F7350C3EE}</x14:id>
        </ext>
      </extLst>
    </cfRule>
  </conditionalFormatting>
  <conditionalFormatting sqref="J1:J13">
    <cfRule type="containsText" dxfId="2" priority="3" operator="containsText" text="RÉAPPROVISIONNEMENT">
      <formula>NOT(ISERROR(SEARCH("RÉAPPROVISIONNEMENT",J1)))</formula>
    </cfRule>
  </conditionalFormatting>
  <conditionalFormatting sqref="J2:J13">
    <cfRule type="containsText" dxfId="1" priority="1" operator="containsText" text="OK">
      <formula>NOT(ISERROR(SEARCH("OK",J2)))</formula>
    </cfRule>
    <cfRule type="containsText" dxfId="0" priority="2" operator="containsText" text="SURVEILLER">
      <formula>NOT(ISERROR(SEARCH("SURVEILLER",J2)))</formula>
    </cfRule>
  </conditionalFormatting>
  <dataValidations count="3">
    <dataValidation type="list" allowBlank="1" showInputMessage="1" showErrorMessage="1" errorTitle="Arrêt" error="« Catégorie inconnue ! »" sqref="C2:C13" xr:uid="{B1083BB3-1267-473A-A9DF-99D5011961AE}">
      <formula1>"Analgésique,Antibiotique,Antipaludéen,Gastro,Complément"</formula1>
    </dataValidation>
    <dataValidation type="list" allowBlank="1" showInputMessage="1" showErrorMessage="1" prompt="«Sélectionnez un fournisseur agrée»" sqref="D2:D13" xr:uid="{96FC4FE3-FB0E-4505-987F-5551E2CF208E}">
      <formula1>"LABOREX,COPHARMED,BIOPHARMA"</formula1>
    </dataValidation>
    <dataValidation type="whole" errorStyle="warning" allowBlank="1" showInputMessage="1" showErrorMessage="1" error="«Quantité inhabituelle,veuillez vérifier»" sqref="E2:E13" xr:uid="{AB4DA24C-9D71-483E-A023-4D2B7D7B554A}">
      <formula1>1</formula1>
      <formula2>1000</formula2>
    </dataValidation>
  </dataValidations>
  <pageMargins left="0.25" right="0.25" top="0.75" bottom="0.75" header="0.3" footer="0.3"/>
  <pageSetup paperSize="9" scale="77" fitToHeight="0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58FF43-191E-465C-B0BB-7C6F7350C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28604AE-1494-4443-95DD-82D7BCBE41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VENTES!E13:H13</xm:f>
              <xm:sqref>L13</xm:sqref>
            </x14:sparkline>
          </x14:sparklines>
        </x14:sparklineGroup>
        <x14:sparklineGroup type="column" displayEmptyCellsAs="gap" xr2:uid="{E0A8214C-01D8-47AA-910C-46EBBA5612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VENTES!E12:H12</xm:f>
              <xm:sqref>L12</xm:sqref>
            </x14:sparkline>
          </x14:sparklines>
        </x14:sparklineGroup>
        <x14:sparklineGroup type="column" displayEmptyCellsAs="gap" xr2:uid="{778181DD-38AC-437A-A2FD-EFCBE0F4F73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VENTES!E11:H11</xm:f>
              <xm:sqref>L11</xm:sqref>
            </x14:sparkline>
          </x14:sparklines>
        </x14:sparklineGroup>
        <x14:sparklineGroup type="column" displayEmptyCellsAs="gap" xr2:uid="{4741BDED-A913-4106-A330-35D74459132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VENTES!E10:H10</xm:f>
              <xm:sqref>L10</xm:sqref>
            </x14:sparkline>
          </x14:sparklines>
        </x14:sparklineGroup>
        <x14:sparklineGroup type="column" displayEmptyCellsAs="gap" xr2:uid="{BE4DF9FA-9C0B-4F1E-B0AF-B57B8902FF0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VENTES!E9:H9</xm:f>
              <xm:sqref>L9</xm:sqref>
            </x14:sparkline>
          </x14:sparklines>
        </x14:sparklineGroup>
        <x14:sparklineGroup type="column" displayEmptyCellsAs="gap" xr2:uid="{3CA5F1FA-DED1-420A-9039-490B44C5BD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VENTES!E8:H8</xm:f>
              <xm:sqref>L8</xm:sqref>
            </x14:sparkline>
          </x14:sparklines>
        </x14:sparklineGroup>
        <x14:sparklineGroup type="column" displayEmptyCellsAs="gap" xr2:uid="{BC9DCED9-069E-4742-ADBE-8EEB5B1937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VENTES!E7:H7</xm:f>
              <xm:sqref>L7</xm:sqref>
            </x14:sparkline>
          </x14:sparklines>
        </x14:sparklineGroup>
        <x14:sparklineGroup type="column" displayEmptyCellsAs="gap" xr2:uid="{F7729AC5-34DA-4A4A-8F20-1CC8DDA2FA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VENTES!E6:H6</xm:f>
              <xm:sqref>L6</xm:sqref>
            </x14:sparkline>
          </x14:sparklines>
        </x14:sparklineGroup>
        <x14:sparklineGroup type="column" displayEmptyCellsAs="gap" xr2:uid="{AE118FA8-4224-46EA-8816-7C7BADEAD38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VENTES!E5:H5</xm:f>
              <xm:sqref>L5</xm:sqref>
            </x14:sparkline>
          </x14:sparklines>
        </x14:sparklineGroup>
        <x14:sparklineGroup type="column" displayEmptyCellsAs="gap" xr2:uid="{838397FF-C64F-4D3C-907E-975DEED6C04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VENTES!E4:H4</xm:f>
              <xm:sqref>L4</xm:sqref>
            </x14:sparkline>
          </x14:sparklines>
        </x14:sparklineGroup>
        <x14:sparklineGroup type="column" displayEmptyCellsAs="gap" xr2:uid="{BADA86E0-25AA-436A-BFB0-C6AE11B774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VENTES!E3:H3</xm:f>
              <xm:sqref>L3</xm:sqref>
            </x14:sparkline>
          </x14:sparklines>
        </x14:sparklineGroup>
        <x14:sparklineGroup type="column" displayEmptyCellsAs="gap" xr2:uid="{BE2A9173-D107-4647-A998-FF058A105D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VENTES!E2:H2</xm:f>
              <xm:sqref>L2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4903-3D50-47AB-A6C7-A9D9E48D201A}">
  <dimension ref="A1:B23"/>
  <sheetViews>
    <sheetView workbookViewId="0">
      <selection activeCell="E12" sqref="E12"/>
    </sheetView>
  </sheetViews>
  <sheetFormatPr baseColWidth="10" defaultRowHeight="14.5" x14ac:dyDescent="0.35"/>
  <cols>
    <col min="1" max="1" width="38.54296875" bestFit="1" customWidth="1"/>
    <col min="2" max="2" width="25.26953125" customWidth="1"/>
  </cols>
  <sheetData>
    <row r="1" spans="1:2" ht="29.5" customHeight="1" x14ac:dyDescent="0.35">
      <c r="A1" s="23" t="s">
        <v>43</v>
      </c>
      <c r="B1" s="24"/>
    </row>
    <row r="2" spans="1:2" x14ac:dyDescent="0.35">
      <c r="A2" s="13" t="s">
        <v>44</v>
      </c>
      <c r="B2" s="12">
        <f>SUM(VENTES!H2:H13)</f>
        <v>3172500</v>
      </c>
    </row>
    <row r="3" spans="1:2" x14ac:dyDescent="0.35">
      <c r="A3" s="13" t="s">
        <v>45</v>
      </c>
      <c r="B3" s="12">
        <f>SUMIF(VENTES!D2:D13,"LABOREX",VENTES!H2:H13)</f>
        <v>1852500</v>
      </c>
    </row>
    <row r="4" spans="1:2" x14ac:dyDescent="0.35">
      <c r="A4" s="13" t="s">
        <v>46</v>
      </c>
      <c r="B4" s="12">
        <f>SUM(VENTES!E2:E13)</f>
        <v>2690</v>
      </c>
    </row>
    <row r="5" spans="1:2" x14ac:dyDescent="0.35">
      <c r="A5" s="13" t="s">
        <v>47</v>
      </c>
      <c r="B5" s="12">
        <f>COUNTIF(VENTES!J2:J13,"RÉAPPROVISIONNEMENT")</f>
        <v>4</v>
      </c>
    </row>
    <row r="6" spans="1:2" x14ac:dyDescent="0.35">
      <c r="A6" s="13" t="s">
        <v>48</v>
      </c>
      <c r="B6" s="12">
        <f>SUM(VENTES!I8:I13)</f>
        <v>452825</v>
      </c>
    </row>
    <row r="7" spans="1:2" x14ac:dyDescent="0.35">
      <c r="A7" s="13" t="s">
        <v>49</v>
      </c>
      <c r="B7" s="12">
        <f>AVERAGE(VENTES!H2:H13)</f>
        <v>264375</v>
      </c>
    </row>
    <row r="14" spans="1:2" x14ac:dyDescent="0.35">
      <c r="A14" s="25" t="s">
        <v>50</v>
      </c>
      <c r="B14" s="26"/>
    </row>
    <row r="15" spans="1:2" x14ac:dyDescent="0.35">
      <c r="A15" s="17" t="s">
        <v>51</v>
      </c>
      <c r="B15" s="18" t="s">
        <v>15</v>
      </c>
    </row>
    <row r="16" spans="1:2" x14ac:dyDescent="0.35">
      <c r="A16" s="17" t="s">
        <v>1</v>
      </c>
      <c r="B16" s="18" t="str">
        <f>VLOOKUP($B$15,VENTES!$A$2:$K$13,2,0)</f>
        <v>Arteméter-Luméfantrine</v>
      </c>
    </row>
    <row r="17" spans="1:2" x14ac:dyDescent="0.35">
      <c r="A17" s="17" t="s">
        <v>2</v>
      </c>
      <c r="B17" s="18" t="str">
        <f>VLOOKUP($B$15,VENTES!$A$2:$K$13,3,0)</f>
        <v>Antipaludéen</v>
      </c>
    </row>
    <row r="18" spans="1:2" x14ac:dyDescent="0.35">
      <c r="A18" s="17" t="s">
        <v>3</v>
      </c>
      <c r="B18" s="18" t="str">
        <f>VLOOKUP($B$15,VENTES!$A$2:$K$13,4,0)</f>
        <v>LABOREX</v>
      </c>
    </row>
    <row r="19" spans="1:2" x14ac:dyDescent="0.35">
      <c r="A19" s="17" t="s">
        <v>52</v>
      </c>
      <c r="B19" s="18">
        <f>VLOOKUP($B$15,VENTES!$A$2:$K$13,5,0)</f>
        <v>320</v>
      </c>
    </row>
    <row r="20" spans="1:2" x14ac:dyDescent="0.35">
      <c r="A20" s="17" t="s">
        <v>5</v>
      </c>
      <c r="B20" s="18">
        <f>VLOOKUP($B$15,VENTES!$A$2:$K$13,6,0)</f>
        <v>2500</v>
      </c>
    </row>
    <row r="21" spans="1:2" x14ac:dyDescent="0.35">
      <c r="A21" s="17" t="s">
        <v>7</v>
      </c>
      <c r="B21" s="18">
        <f>VLOOKUP($B$15,VENTES!$A$2:$K$13,8,0)</f>
        <v>800000</v>
      </c>
    </row>
    <row r="22" spans="1:2" x14ac:dyDescent="0.35">
      <c r="A22" s="17" t="s">
        <v>53</v>
      </c>
      <c r="B22" s="18">
        <f>VLOOKUP($B$15,VENTES!$A$2:$K$13,9,0)</f>
        <v>240000</v>
      </c>
    </row>
    <row r="23" spans="1:2" x14ac:dyDescent="0.35">
      <c r="A23" s="17" t="s">
        <v>8</v>
      </c>
      <c r="B23" s="18" t="str">
        <f>VLOOKUP($B$15,VENTES!$A$2:$K$13,10,0)</f>
        <v>RÉAPPROVISIONNEMENT</v>
      </c>
    </row>
  </sheetData>
  <mergeCells count="2">
    <mergeCell ref="A1:B1"/>
    <mergeCell ref="A14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11D5-6F86-409A-8970-CF82157B90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</vt:lpstr>
      <vt:lpstr>ANALYSE</vt:lpstr>
      <vt:lpstr>GRAPHIQUE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2026-06-02T09:07:05Z</cp:lastPrinted>
  <dcterms:created xsi:type="dcterms:W3CDTF">2026-05-21T11:09:55Z</dcterms:created>
  <dcterms:modified xsi:type="dcterms:W3CDTF">2026-06-02T09:07:33Z</dcterms:modified>
</cp:coreProperties>
</file>